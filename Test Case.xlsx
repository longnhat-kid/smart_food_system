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esktop\Thực tập CNPM\"/>
    </mc:Choice>
  </mc:AlternateContent>
  <bookViews>
    <workbookView xWindow="0" yWindow="0" windowWidth="20490" windowHeight="7755"/>
  </bookViews>
  <sheets>
    <sheet name="Trang tính1" sheetId="1" r:id="rId1"/>
    <sheet name="Câu trả lời biểu mẫu 1" sheetId="2" r:id="rId2"/>
  </sheets>
  <calcPr calcId="152511"/>
</workbook>
</file>

<file path=xl/calcChain.xml><?xml version="1.0" encoding="utf-8"?>
<calcChain xmlns="http://schemas.openxmlformats.org/spreadsheetml/2006/main">
  <c r="H6" i="1" l="1"/>
  <c r="H5" i="1"/>
  <c r="H4" i="1"/>
  <c r="H3" i="1"/>
  <c r="H2" i="1"/>
</calcChain>
</file>

<file path=xl/sharedStrings.xml><?xml version="1.0" encoding="utf-8"?>
<sst xmlns="http://schemas.openxmlformats.org/spreadsheetml/2006/main" count="161" uniqueCount="87">
  <si>
    <t>Dấu thời gian</t>
  </si>
  <si>
    <t>Câu hỏi không có tiêu đề</t>
  </si>
  <si>
    <t>Function Test Cases</t>
  </si>
  <si>
    <t>Passed</t>
  </si>
  <si>
    <t>Failed</t>
  </si>
  <si>
    <t>Not Run</t>
  </si>
  <si>
    <t>Not Completed</t>
  </si>
  <si>
    <t>Number of test cases</t>
  </si>
  <si>
    <t>Category</t>
  </si>
  <si>
    <t>Test Case ID</t>
  </si>
  <si>
    <t>Test Case Description</t>
  </si>
  <si>
    <t>Test Procedures</t>
  </si>
  <si>
    <t>Test Case Expected Result</t>
  </si>
  <si>
    <t>Status</t>
  </si>
  <si>
    <t>Tester</t>
  </si>
  <si>
    <t>Steps to Perform</t>
  </si>
  <si>
    <t>Step Expected Result</t>
  </si>
  <si>
    <t>FUNC 001</t>
  </si>
  <si>
    <t>Successful</t>
  </si>
  <si>
    <t>FUNC 002</t>
  </si>
  <si>
    <t>FUNC 003</t>
  </si>
  <si>
    <t>FUNC 004</t>
  </si>
  <si>
    <t>FUNC 005</t>
  </si>
  <si>
    <t>FUNC 006</t>
  </si>
  <si>
    <t>FUNC 007</t>
  </si>
  <si>
    <t>FUNC 012</t>
  </si>
  <si>
    <t>FUNC 013</t>
  </si>
  <si>
    <t>FUNC 014</t>
  </si>
  <si>
    <t>FUNC 015</t>
  </si>
  <si>
    <t>Login to the system</t>
  </si>
  <si>
    <t>Users press the Login button when no information is entered</t>
  </si>
  <si>
    <t>Go to Login interface</t>
  </si>
  <si>
    <t>Press the button Login</t>
  </si>
  <si>
    <t>Notify wrong username or password</t>
  </si>
  <si>
    <t>Nguyễn Long Nhật</t>
  </si>
  <si>
    <t>User enters username but not password</t>
  </si>
  <si>
    <t>Enter username</t>
  </si>
  <si>
    <t>Notification has not entered any information</t>
  </si>
  <si>
    <t>Notification not having entered your password yet</t>
  </si>
  <si>
    <t>User enters password but not username</t>
  </si>
  <si>
    <t>Enter password</t>
  </si>
  <si>
    <t>Notification not having entered your username yet</t>
  </si>
  <si>
    <t>User entered full information but wrong username or password</t>
  </si>
  <si>
    <t>Enter username and password</t>
  </si>
  <si>
    <t>The user enters full information and the correct username and password</t>
  </si>
  <si>
    <t>Login successful and go to User interface</t>
  </si>
  <si>
    <t>Add food to cart function</t>
  </si>
  <si>
    <t>Go to Order interface and select Category food</t>
  </si>
  <si>
    <t>Press the button Add to shopping cart</t>
  </si>
  <si>
    <t>Notification not yet selected food to add to cart</t>
  </si>
  <si>
    <t xml:space="preserve">Notification not yet selected food to add to cart
</t>
  </si>
  <si>
    <t>The user selects the item and the number of items, then press the button Add to shopping cart</t>
  </si>
  <si>
    <t>The user has not yet selected the item but press the button to add to shopping cart</t>
  </si>
  <si>
    <t>Choose food and its quantity</t>
  </si>
  <si>
    <t>Notification added to the cart successfully</t>
  </si>
  <si>
    <t>Order function</t>
  </si>
  <si>
    <t>FUNC 008</t>
  </si>
  <si>
    <t>The user presses the delete button when there is no order</t>
  </si>
  <si>
    <t>Go to User Cart interface</t>
  </si>
  <si>
    <t>Press the Delete Button</t>
  </si>
  <si>
    <t>Notification of no orders yet</t>
  </si>
  <si>
    <t>Throw exception</t>
  </si>
  <si>
    <t>FUNC 009</t>
  </si>
  <si>
    <t>The user presses the delete button when an order is available</t>
  </si>
  <si>
    <t>The order has been removed from the list</t>
  </si>
  <si>
    <t>FUNC 010</t>
  </si>
  <si>
    <t>The user presses the order button when there is no order</t>
  </si>
  <si>
    <t>Press the Order Button</t>
  </si>
  <si>
    <t>Orders are sent to the corresponding counters</t>
  </si>
  <si>
    <t>Search food function</t>
  </si>
  <si>
    <t>FUNC 011</t>
  </si>
  <si>
    <t>The user presses the Search button without entering the name of the dish</t>
  </si>
  <si>
    <t>Go to Search food interface</t>
  </si>
  <si>
    <t>Press the Search food button</t>
  </si>
  <si>
    <t>All foods will be displayed</t>
  </si>
  <si>
    <t>The user enters a keyword and presses the search button</t>
  </si>
  <si>
    <t>Enter a keyword</t>
  </si>
  <si>
    <t>Data about foods that the user wants to search will be displayed</t>
  </si>
  <si>
    <t>Manager order function</t>
  </si>
  <si>
    <t>The user presses the button to complete the order when no order has been selected</t>
  </si>
  <si>
    <t xml:space="preserve">Go to Order Manager interface </t>
  </si>
  <si>
    <t>Press the button Complete order</t>
  </si>
  <si>
    <t>Notice that no orders have been selected yet</t>
  </si>
  <si>
    <t>The user selects the order and presses the button to complete the order</t>
  </si>
  <si>
    <t>Select the order</t>
  </si>
  <si>
    <t>Order is completed and notification is sent to customers</t>
  </si>
  <si>
    <t>Order is completed but notification is not sent to customers. Not 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</si>
</sst>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color rgb="FF000000"/>
      <name val="Arial"/>
    </font>
    <font>
      <sz val="10"/>
      <name val="Arial"/>
    </font>
    <font>
      <i/>
      <sz val="20"/>
      <color rgb="FF000000"/>
      <name val="Arial"/>
    </font>
    <font>
      <sz val="11"/>
      <name val="Arial"/>
    </font>
    <font>
      <sz val="11"/>
      <color rgb="FF000000"/>
      <name val="Arial"/>
    </font>
    <font>
      <i/>
      <sz val="11"/>
      <color rgb="FF000000"/>
      <name val="Arial"/>
    </font>
    <font>
      <i/>
      <sz val="11"/>
      <color rgb="FF0000D4"/>
      <name val="Arial"/>
    </font>
    <font>
      <b/>
      <sz val="11"/>
      <color rgb="FF000000"/>
      <name val="Arial"/>
    </font>
    <font>
      <sz val="11"/>
      <color rgb="FF000000"/>
      <name val="Arial"/>
      <family val="2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rgb="FFCCFFFF"/>
        <bgColor rgb="FFCCFFFF"/>
      </patternFill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</borders>
  <cellStyleXfs count="1">
    <xf numFmtId="0" fontId="0" fillId="0" borderId="0"/>
  </cellStyleXfs>
  <cellXfs count="59">
    <xf numFmtId="0" fontId="0" fillId="0" borderId="0" xfId="0" applyFont="1" applyAlignment="1"/>
    <xf numFmtId="0" fontId="1" fillId="0" borderId="0" xfId="0" applyFont="1" applyAlignment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horizontal="right" wrapText="1"/>
    </xf>
    <xf numFmtId="0" fontId="4" fillId="0" borderId="0" xfId="0" applyFont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7" fillId="3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left" vertical="center" wrapText="1"/>
    </xf>
    <xf numFmtId="0" fontId="0" fillId="0" borderId="0" xfId="0" applyFont="1" applyAlignment="1"/>
    <xf numFmtId="0" fontId="8" fillId="0" borderId="5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wrapText="1"/>
    </xf>
    <xf numFmtId="0" fontId="1" fillId="0" borderId="4" xfId="0" applyFont="1" applyBorder="1"/>
    <xf numFmtId="0" fontId="9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/>
    <xf numFmtId="0" fontId="4" fillId="0" borderId="1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/>
    </xf>
    <xf numFmtId="0" fontId="8" fillId="0" borderId="8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1" fillId="0" borderId="4" xfId="0" applyFont="1" applyBorder="1" applyAlignment="1">
      <alignment vertical="center"/>
    </xf>
    <xf numFmtId="0" fontId="2" fillId="2" borderId="0" xfId="0" applyFont="1" applyFill="1" applyAlignment="1">
      <alignment horizontal="left" wrapText="1"/>
    </xf>
    <xf numFmtId="0" fontId="0" fillId="0" borderId="0" xfId="0" applyFont="1" applyAlignment="1"/>
    <xf numFmtId="0" fontId="4" fillId="4" borderId="1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wrapText="1"/>
    </xf>
    <xf numFmtId="0" fontId="1" fillId="0" borderId="3" xfId="0" applyFont="1" applyBorder="1"/>
    <xf numFmtId="0" fontId="8" fillId="0" borderId="7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4" borderId="5" xfId="0" applyFont="1" applyFill="1" applyBorder="1" applyAlignment="1">
      <alignment horizontal="left" vertical="center" wrapText="1"/>
    </xf>
    <xf numFmtId="0" fontId="4" fillId="0" borderId="6" xfId="0" applyFont="1" applyFill="1" applyBorder="1" applyAlignment="1">
      <alignment horizontal="left" vertical="center" wrapText="1"/>
    </xf>
    <xf numFmtId="0" fontId="1" fillId="0" borderId="6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Z1014"/>
  <sheetViews>
    <sheetView tabSelected="1" zoomScaleNormal="100" workbookViewId="0">
      <pane ySplit="6" topLeftCell="A7" activePane="bottomLeft" state="frozen"/>
      <selection pane="bottomLeft" activeCell="H23" sqref="H23:H27"/>
    </sheetView>
  </sheetViews>
  <sheetFormatPr defaultColWidth="14.42578125" defaultRowHeight="15.75" customHeight="1" x14ac:dyDescent="0.2"/>
  <cols>
    <col min="1" max="2" width="21.140625" customWidth="1"/>
    <col min="3" max="3" width="27.42578125" customWidth="1"/>
    <col min="4" max="4" width="21.140625" customWidth="1"/>
    <col min="5" max="5" width="28.28515625" customWidth="1"/>
    <col min="6" max="6" width="32.42578125" customWidth="1"/>
    <col min="7" max="26" width="21.140625" customWidth="1"/>
  </cols>
  <sheetData>
    <row r="1" spans="1:26" ht="16.5" x14ac:dyDescent="0.35">
      <c r="A1" s="41" t="s">
        <v>2</v>
      </c>
      <c r="B1" s="42"/>
      <c r="C1" s="42"/>
      <c r="D1" s="42"/>
      <c r="E1" s="42"/>
      <c r="F1" s="42"/>
      <c r="G1" s="42"/>
      <c r="H1" s="4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x14ac:dyDescent="0.2">
      <c r="A2" s="3"/>
      <c r="B2" s="3"/>
      <c r="C2" s="3"/>
      <c r="D2" s="3"/>
      <c r="E2" s="3"/>
      <c r="G2" s="4" t="s">
        <v>3</v>
      </c>
      <c r="H2" s="5">
        <f>COUNTIF(G9:G1014,"*Passed*")</f>
        <v>11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x14ac:dyDescent="0.2">
      <c r="A3" s="3"/>
      <c r="B3" s="3"/>
      <c r="C3" s="3"/>
      <c r="D3" s="3"/>
      <c r="E3" s="3"/>
      <c r="G3" s="4" t="s">
        <v>4</v>
      </c>
      <c r="H3" s="5">
        <f>COUNTIF(G9:G1014,"*Failed*")</f>
        <v>3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x14ac:dyDescent="0.2">
      <c r="A4" s="3"/>
      <c r="B4" s="6"/>
      <c r="C4" s="3"/>
      <c r="D4" s="3"/>
      <c r="E4" s="3"/>
      <c r="G4" s="4" t="s">
        <v>5</v>
      </c>
      <c r="H4" s="5">
        <f>COUNTIF(G9:G1014,"*Not Run*")</f>
        <v>0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x14ac:dyDescent="0.2">
      <c r="A5" s="3"/>
      <c r="B5" s="3"/>
      <c r="C5" s="3"/>
      <c r="D5" s="3"/>
      <c r="E5" s="3"/>
      <c r="G5" s="4" t="s">
        <v>6</v>
      </c>
      <c r="H5" s="5">
        <f>COUNTIF(G9:G1014,"*Not Completed*")</f>
        <v>1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8.5" x14ac:dyDescent="0.2">
      <c r="A6" s="3"/>
      <c r="B6" s="3"/>
      <c r="C6" s="3"/>
      <c r="D6" s="3"/>
      <c r="E6" s="3"/>
      <c r="G6" s="4" t="s">
        <v>7</v>
      </c>
      <c r="H6" s="5">
        <f>COUNTA(B9:B1014)</f>
        <v>15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" x14ac:dyDescent="0.25">
      <c r="A7" s="21" t="s">
        <v>8</v>
      </c>
      <c r="B7" s="21" t="s">
        <v>9</v>
      </c>
      <c r="C7" s="21" t="s">
        <v>10</v>
      </c>
      <c r="D7" s="49" t="s">
        <v>11</v>
      </c>
      <c r="E7" s="50"/>
      <c r="F7" s="21" t="s">
        <v>12</v>
      </c>
      <c r="G7" s="21" t="s">
        <v>13</v>
      </c>
      <c r="H7" s="21" t="s">
        <v>14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" x14ac:dyDescent="0.25">
      <c r="A8" s="22"/>
      <c r="B8" s="22"/>
      <c r="C8" s="22"/>
      <c r="D8" s="7" t="s">
        <v>15</v>
      </c>
      <c r="E8" s="7" t="s">
        <v>16</v>
      </c>
      <c r="F8" s="22"/>
      <c r="G8" s="22"/>
      <c r="H8" s="2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x14ac:dyDescent="0.2">
      <c r="A9" s="16" t="s">
        <v>29</v>
      </c>
      <c r="B9" s="16" t="s">
        <v>17</v>
      </c>
      <c r="C9" s="27" t="s">
        <v>30</v>
      </c>
      <c r="D9" s="54" t="s">
        <v>31</v>
      </c>
      <c r="E9" s="54" t="s">
        <v>18</v>
      </c>
      <c r="F9" s="16" t="s">
        <v>37</v>
      </c>
      <c r="G9" s="16" t="s">
        <v>3</v>
      </c>
      <c r="H9" s="16" t="s">
        <v>34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8.5" x14ac:dyDescent="0.2">
      <c r="A10" s="26"/>
      <c r="B10" s="25"/>
      <c r="C10" s="40"/>
      <c r="D10" s="54" t="s">
        <v>32</v>
      </c>
      <c r="E10" s="54" t="s">
        <v>37</v>
      </c>
      <c r="F10" s="25"/>
      <c r="G10" s="25"/>
      <c r="H10" s="17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x14ac:dyDescent="0.2">
      <c r="A11" s="26"/>
      <c r="B11" s="16" t="s">
        <v>19</v>
      </c>
      <c r="C11" s="27" t="s">
        <v>35</v>
      </c>
      <c r="D11" s="54" t="s">
        <v>31</v>
      </c>
      <c r="E11" s="54" t="s">
        <v>18</v>
      </c>
      <c r="F11" s="16" t="s">
        <v>38</v>
      </c>
      <c r="G11" s="43" t="s">
        <v>3</v>
      </c>
      <c r="H11" s="17"/>
      <c r="I11" s="8"/>
      <c r="J11" s="8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25" x14ac:dyDescent="0.2">
      <c r="A12" s="26"/>
      <c r="B12" s="32"/>
      <c r="C12" s="34"/>
      <c r="D12" s="55" t="s">
        <v>36</v>
      </c>
      <c r="E12" s="54" t="s">
        <v>18</v>
      </c>
      <c r="F12" s="32"/>
      <c r="G12" s="32"/>
      <c r="H12" s="17"/>
      <c r="I12" s="8"/>
      <c r="J12" s="8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8.5" x14ac:dyDescent="0.2">
      <c r="A13" s="26"/>
      <c r="B13" s="25"/>
      <c r="C13" s="29"/>
      <c r="D13" s="54" t="s">
        <v>32</v>
      </c>
      <c r="E13" s="54" t="s">
        <v>38</v>
      </c>
      <c r="F13" s="25"/>
      <c r="G13" s="25"/>
      <c r="H13" s="17"/>
      <c r="I13" s="8"/>
      <c r="J13" s="8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x14ac:dyDescent="0.2">
      <c r="A14" s="26"/>
      <c r="B14" s="33" t="s">
        <v>20</v>
      </c>
      <c r="C14" s="27" t="s">
        <v>39</v>
      </c>
      <c r="D14" s="54" t="s">
        <v>31</v>
      </c>
      <c r="E14" s="54" t="s">
        <v>18</v>
      </c>
      <c r="F14" s="43" t="s">
        <v>41</v>
      </c>
      <c r="G14" s="16" t="s">
        <v>3</v>
      </c>
      <c r="H14" s="17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 x14ac:dyDescent="0.2">
      <c r="A15" s="26"/>
      <c r="B15" s="17"/>
      <c r="C15" s="28"/>
      <c r="D15" s="54" t="s">
        <v>40</v>
      </c>
      <c r="E15" s="54" t="s">
        <v>18</v>
      </c>
      <c r="F15" s="44"/>
      <c r="G15" s="17"/>
      <c r="H15" s="17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8.5" x14ac:dyDescent="0.2">
      <c r="A16" s="26"/>
      <c r="B16" s="25"/>
      <c r="C16" s="29"/>
      <c r="D16" s="54" t="s">
        <v>32</v>
      </c>
      <c r="E16" s="54" t="s">
        <v>41</v>
      </c>
      <c r="F16" s="25"/>
      <c r="G16" s="25"/>
      <c r="H16" s="17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34.5" customHeight="1" x14ac:dyDescent="0.2">
      <c r="A17" s="26"/>
      <c r="B17" s="33" t="s">
        <v>21</v>
      </c>
      <c r="C17" s="45" t="s">
        <v>42</v>
      </c>
      <c r="D17" s="54" t="s">
        <v>31</v>
      </c>
      <c r="E17" s="54" t="s">
        <v>18</v>
      </c>
      <c r="F17" s="46" t="s">
        <v>33</v>
      </c>
      <c r="G17" s="16" t="s">
        <v>3</v>
      </c>
      <c r="H17" s="17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8.5" customHeight="1" x14ac:dyDescent="0.2">
      <c r="A18" s="26"/>
      <c r="B18" s="36"/>
      <c r="C18" s="38"/>
      <c r="D18" s="13" t="s">
        <v>43</v>
      </c>
      <c r="E18" s="54" t="s">
        <v>18</v>
      </c>
      <c r="F18" s="47"/>
      <c r="G18" s="17"/>
      <c r="H18" s="17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8.5" x14ac:dyDescent="0.2">
      <c r="A19" s="26"/>
      <c r="B19" s="37"/>
      <c r="C19" s="39"/>
      <c r="D19" s="54" t="s">
        <v>32</v>
      </c>
      <c r="E19" s="13" t="s">
        <v>33</v>
      </c>
      <c r="F19" s="48"/>
      <c r="G19" s="18"/>
      <c r="H19" s="17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25" customHeight="1" x14ac:dyDescent="0.2">
      <c r="A20" s="26"/>
      <c r="B20" s="23" t="s">
        <v>22</v>
      </c>
      <c r="C20" s="30" t="s">
        <v>44</v>
      </c>
      <c r="D20" s="54" t="s">
        <v>31</v>
      </c>
      <c r="E20" s="54" t="s">
        <v>18</v>
      </c>
      <c r="F20" s="23" t="s">
        <v>45</v>
      </c>
      <c r="G20" s="23" t="s">
        <v>3</v>
      </c>
      <c r="H20" s="17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25" customHeight="1" x14ac:dyDescent="0.2">
      <c r="A21" s="26"/>
      <c r="B21" s="24"/>
      <c r="C21" s="31"/>
      <c r="D21" s="13" t="s">
        <v>43</v>
      </c>
      <c r="E21" s="54" t="s">
        <v>18</v>
      </c>
      <c r="F21" s="24"/>
      <c r="G21" s="24"/>
      <c r="H21" s="17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8.5" x14ac:dyDescent="0.2">
      <c r="A22" s="26"/>
      <c r="B22" s="25"/>
      <c r="C22" s="29"/>
      <c r="D22" s="54" t="s">
        <v>32</v>
      </c>
      <c r="E22" s="13" t="s">
        <v>45</v>
      </c>
      <c r="F22" s="25"/>
      <c r="G22" s="25"/>
      <c r="H22" s="18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45.75" customHeight="1" x14ac:dyDescent="0.2">
      <c r="A23" s="33" t="s">
        <v>46</v>
      </c>
      <c r="B23" s="33" t="s">
        <v>23</v>
      </c>
      <c r="C23" s="45" t="s">
        <v>52</v>
      </c>
      <c r="D23" s="13" t="s">
        <v>47</v>
      </c>
      <c r="E23" s="13" t="s">
        <v>18</v>
      </c>
      <c r="F23" s="33" t="s">
        <v>50</v>
      </c>
      <c r="G23" s="16" t="s">
        <v>3</v>
      </c>
      <c r="H23" s="33" t="s">
        <v>34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8.5" x14ac:dyDescent="0.2">
      <c r="A24" s="26"/>
      <c r="B24" s="51"/>
      <c r="C24" s="52"/>
      <c r="D24" s="13" t="s">
        <v>48</v>
      </c>
      <c r="E24" s="13" t="s">
        <v>49</v>
      </c>
      <c r="F24" s="19"/>
      <c r="G24" s="19"/>
      <c r="H24" s="57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42.75" x14ac:dyDescent="0.2">
      <c r="A25" s="26"/>
      <c r="B25" s="35" t="s">
        <v>24</v>
      </c>
      <c r="C25" s="38" t="s">
        <v>51</v>
      </c>
      <c r="D25" s="13" t="s">
        <v>47</v>
      </c>
      <c r="E25" s="13" t="s">
        <v>18</v>
      </c>
      <c r="F25" s="36" t="s">
        <v>54</v>
      </c>
      <c r="G25" s="20" t="s">
        <v>3</v>
      </c>
      <c r="H25" s="57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8.5" x14ac:dyDescent="0.2">
      <c r="A26" s="26"/>
      <c r="B26" s="36"/>
      <c r="C26" s="38"/>
      <c r="D26" s="13" t="s">
        <v>53</v>
      </c>
      <c r="E26" s="13" t="s">
        <v>18</v>
      </c>
      <c r="F26" s="36"/>
      <c r="G26" s="17"/>
      <c r="H26" s="57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8.5" x14ac:dyDescent="0.2">
      <c r="A27" s="22"/>
      <c r="B27" s="37"/>
      <c r="C27" s="39"/>
      <c r="D27" s="13" t="s">
        <v>48</v>
      </c>
      <c r="E27" s="13" t="s">
        <v>54</v>
      </c>
      <c r="F27" s="37"/>
      <c r="G27" s="18"/>
      <c r="H27" s="58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8.5" x14ac:dyDescent="0.2">
      <c r="A28" s="16" t="s">
        <v>55</v>
      </c>
      <c r="B28" s="14" t="s">
        <v>56</v>
      </c>
      <c r="C28" s="27" t="s">
        <v>57</v>
      </c>
      <c r="D28" s="54" t="s">
        <v>58</v>
      </c>
      <c r="E28" s="54" t="s">
        <v>18</v>
      </c>
      <c r="F28" s="16" t="s">
        <v>61</v>
      </c>
      <c r="G28" s="16" t="s">
        <v>4</v>
      </c>
      <c r="H28" s="33" t="s">
        <v>34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8.5" x14ac:dyDescent="0.2">
      <c r="A29" s="26"/>
      <c r="B29" s="15"/>
      <c r="C29" s="53"/>
      <c r="D29" s="54" t="s">
        <v>59</v>
      </c>
      <c r="E29" s="54" t="s">
        <v>60</v>
      </c>
      <c r="F29" s="18"/>
      <c r="G29" s="18"/>
      <c r="H29" s="57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42.75" customHeight="1" x14ac:dyDescent="0.2">
      <c r="A30" s="26"/>
      <c r="B30" s="14" t="s">
        <v>62</v>
      </c>
      <c r="C30" s="27" t="s">
        <v>63</v>
      </c>
      <c r="D30" s="54" t="s">
        <v>58</v>
      </c>
      <c r="E30" s="54" t="s">
        <v>18</v>
      </c>
      <c r="F30" s="16" t="s">
        <v>64</v>
      </c>
      <c r="G30" s="16" t="s">
        <v>3</v>
      </c>
      <c r="H30" s="57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8.5" x14ac:dyDescent="0.2">
      <c r="A31" s="26"/>
      <c r="B31" s="15"/>
      <c r="C31" s="53"/>
      <c r="D31" s="54" t="s">
        <v>59</v>
      </c>
      <c r="E31" s="54" t="s">
        <v>64</v>
      </c>
      <c r="F31" s="18"/>
      <c r="G31" s="18"/>
      <c r="H31" s="57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25" customHeight="1" x14ac:dyDescent="0.2">
      <c r="A32" s="26"/>
      <c r="B32" s="16" t="s">
        <v>65</v>
      </c>
      <c r="C32" s="27" t="s">
        <v>66</v>
      </c>
      <c r="D32" s="54" t="s">
        <v>58</v>
      </c>
      <c r="E32" s="54" t="s">
        <v>18</v>
      </c>
      <c r="F32" s="16" t="s">
        <v>61</v>
      </c>
      <c r="G32" s="16" t="s">
        <v>4</v>
      </c>
      <c r="H32" s="57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8.5" x14ac:dyDescent="0.2">
      <c r="A33" s="26"/>
      <c r="B33" s="25"/>
      <c r="C33" s="53"/>
      <c r="D33" s="54" t="s">
        <v>67</v>
      </c>
      <c r="E33" s="54" t="s">
        <v>60</v>
      </c>
      <c r="F33" s="25"/>
      <c r="G33" s="25"/>
      <c r="H33" s="57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s="12" customFormat="1" ht="28.5" x14ac:dyDescent="0.2">
      <c r="A34" s="26"/>
      <c r="B34" s="16" t="s">
        <v>70</v>
      </c>
      <c r="C34" s="27" t="s">
        <v>63</v>
      </c>
      <c r="D34" s="54" t="s">
        <v>58</v>
      </c>
      <c r="E34" s="54" t="s">
        <v>18</v>
      </c>
      <c r="F34" s="16" t="s">
        <v>68</v>
      </c>
      <c r="G34" s="16" t="s">
        <v>3</v>
      </c>
      <c r="H34" s="57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8.5" x14ac:dyDescent="0.2">
      <c r="A35" s="22"/>
      <c r="B35" s="18"/>
      <c r="C35" s="53"/>
      <c r="D35" s="54" t="s">
        <v>67</v>
      </c>
      <c r="E35" s="54" t="s">
        <v>68</v>
      </c>
      <c r="F35" s="18"/>
      <c r="G35" s="18"/>
      <c r="H35" s="58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s="12" customFormat="1" ht="28.5" x14ac:dyDescent="0.2">
      <c r="A36" s="16" t="s">
        <v>69</v>
      </c>
      <c r="B36" s="16" t="s">
        <v>25</v>
      </c>
      <c r="C36" s="27" t="s">
        <v>71</v>
      </c>
      <c r="D36" s="54" t="s">
        <v>72</v>
      </c>
      <c r="E36" s="54" t="s">
        <v>18</v>
      </c>
      <c r="F36" s="16" t="s">
        <v>74</v>
      </c>
      <c r="G36" s="16" t="s">
        <v>3</v>
      </c>
      <c r="H36" s="16" t="s">
        <v>34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28.5" x14ac:dyDescent="0.2">
      <c r="A37" s="17"/>
      <c r="B37" s="18"/>
      <c r="C37" s="53"/>
      <c r="D37" s="54" t="s">
        <v>73</v>
      </c>
      <c r="E37" s="54" t="s">
        <v>74</v>
      </c>
      <c r="F37" s="18"/>
      <c r="G37" s="18"/>
      <c r="H37" s="17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s="12" customFormat="1" ht="28.5" x14ac:dyDescent="0.2">
      <c r="A38" s="17"/>
      <c r="B38" s="16" t="s">
        <v>26</v>
      </c>
      <c r="C38" s="27" t="s">
        <v>75</v>
      </c>
      <c r="D38" s="54" t="s">
        <v>72</v>
      </c>
      <c r="E38" s="54" t="s">
        <v>18</v>
      </c>
      <c r="F38" s="16" t="s">
        <v>77</v>
      </c>
      <c r="G38" s="16" t="s">
        <v>3</v>
      </c>
      <c r="H38" s="17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s="12" customFormat="1" ht="14.25" x14ac:dyDescent="0.2">
      <c r="A39" s="17"/>
      <c r="B39" s="17"/>
      <c r="C39" s="28"/>
      <c r="D39" s="54" t="s">
        <v>76</v>
      </c>
      <c r="E39" s="54" t="s">
        <v>18</v>
      </c>
      <c r="F39" s="17"/>
      <c r="G39" s="17"/>
      <c r="H39" s="17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42.75" x14ac:dyDescent="0.2">
      <c r="A40" s="19"/>
      <c r="B40" s="18"/>
      <c r="C40" s="53"/>
      <c r="D40" s="54" t="s">
        <v>73</v>
      </c>
      <c r="E40" s="54" t="s">
        <v>77</v>
      </c>
      <c r="F40" s="18"/>
      <c r="G40" s="18"/>
      <c r="H40" s="19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s="12" customFormat="1" ht="28.5" x14ac:dyDescent="0.2">
      <c r="A41" s="17" t="s">
        <v>78</v>
      </c>
      <c r="B41" s="16" t="s">
        <v>27</v>
      </c>
      <c r="C41" s="27" t="s">
        <v>79</v>
      </c>
      <c r="D41" s="54" t="s">
        <v>80</v>
      </c>
      <c r="E41" s="54" t="s">
        <v>18</v>
      </c>
      <c r="F41" s="16" t="s">
        <v>61</v>
      </c>
      <c r="G41" s="16" t="s">
        <v>4</v>
      </c>
      <c r="H41" s="20" t="s">
        <v>34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28.5" x14ac:dyDescent="0.2">
      <c r="A42" s="17"/>
      <c r="B42" s="18"/>
      <c r="C42" s="53"/>
      <c r="D42" s="54" t="s">
        <v>81</v>
      </c>
      <c r="E42" s="54" t="s">
        <v>82</v>
      </c>
      <c r="F42" s="18"/>
      <c r="G42" s="18"/>
      <c r="H42" s="17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s="12" customFormat="1" ht="28.5" x14ac:dyDescent="0.2">
      <c r="A43" s="17"/>
      <c r="B43" s="16" t="s">
        <v>28</v>
      </c>
      <c r="C43" s="27" t="s">
        <v>83</v>
      </c>
      <c r="D43" s="54" t="s">
        <v>80</v>
      </c>
      <c r="E43" s="54" t="s">
        <v>18</v>
      </c>
      <c r="F43" s="16" t="s">
        <v>86</v>
      </c>
      <c r="G43" s="16" t="s">
        <v>6</v>
      </c>
      <c r="H43" s="17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s="12" customFormat="1" ht="28.5" customHeight="1" x14ac:dyDescent="0.2">
      <c r="A44" s="17"/>
      <c r="B44" s="17"/>
      <c r="C44" s="28"/>
      <c r="D44" s="56" t="s">
        <v>84</v>
      </c>
      <c r="E44" s="54" t="s">
        <v>18</v>
      </c>
      <c r="F44" s="17"/>
      <c r="G44" s="17"/>
      <c r="H44" s="17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42.75" x14ac:dyDescent="0.2">
      <c r="A45" s="18"/>
      <c r="B45" s="18"/>
      <c r="C45" s="53"/>
      <c r="D45" s="54" t="s">
        <v>81</v>
      </c>
      <c r="E45" s="54" t="s">
        <v>85</v>
      </c>
      <c r="F45" s="18"/>
      <c r="G45" s="18"/>
      <c r="H45" s="18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25" x14ac:dyDescent="0.2">
      <c r="A46" s="9"/>
      <c r="B46" s="10"/>
      <c r="C46" s="3"/>
      <c r="D46" s="3"/>
      <c r="E46" s="3"/>
      <c r="F46" s="3"/>
      <c r="G46" s="8"/>
      <c r="H46" s="11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25" x14ac:dyDescent="0.2">
      <c r="A47" s="9"/>
      <c r="B47" s="10"/>
      <c r="C47" s="3"/>
      <c r="D47" s="3"/>
      <c r="E47" s="3"/>
      <c r="F47" s="3"/>
      <c r="G47" s="8"/>
      <c r="H47" s="11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25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25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25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25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25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25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25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25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25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25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25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25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25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25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25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25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25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25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25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25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25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25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25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25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25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25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25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25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25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25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25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25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25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25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25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25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25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25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25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25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25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25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25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25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25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25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25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25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25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25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25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25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25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25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25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25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25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25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25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25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25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25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25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25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25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25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25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25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25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25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25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25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25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25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25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25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25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25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25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25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25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25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25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25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25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25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25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25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25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25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25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25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25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25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25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25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25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25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25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25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25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25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25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25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25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25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25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25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25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25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25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25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25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25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25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25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25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25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25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25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25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25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25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25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25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25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25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25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25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25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25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25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25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25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25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25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25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25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25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25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25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25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25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25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25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25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25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25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25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25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25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25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25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25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25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25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25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25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25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25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25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25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25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25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25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25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25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25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25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25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25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25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25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25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25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25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25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25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25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25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25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25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25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25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25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25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25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25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25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25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25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25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25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25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25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25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25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25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25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25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25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25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25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25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.25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.25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.25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.25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.25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.25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.25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.25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.25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.25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.25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.25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.25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.25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.25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.25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.25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.25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.25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.25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.25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.25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.25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.25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.25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.25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.25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.25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.25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4.25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4.25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4.25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4.25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4.25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4.25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4.25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4.25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4.25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4.25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4.25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4.25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4.25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4.25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4.25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4.25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4.25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4.25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4.25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4.25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4.25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4.25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4.25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4.25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4.25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4.25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4.25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4.25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4.25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4.25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4.25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4.25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4.25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4.25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4.25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4.25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4.25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4.25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4.25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4.25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4.25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4.25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4.25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4.25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4.25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4.25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4.25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4.25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4.25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4.25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4.25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4.25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4.25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4.25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4.25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4.25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4.25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4.25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4.25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4.25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4.25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4.25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4.25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4.25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4.25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4.25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4.25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4.25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4.25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4.25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4.25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4.25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4.25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4.25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4.25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4.25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4.25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4.25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4.25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4.25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4.25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4.25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4.25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4.25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4.25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4.25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4.25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4.25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4.25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4.25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4.25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4.25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4.25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4.25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4.25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4.25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4.25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4.25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4.25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4.25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4.25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4.25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4.25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4.25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4.25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4.25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4.25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4.25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4.25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4.25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4.25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4.25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4.25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4.25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4.25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4.25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4.25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4.25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4.25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4.25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4.25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4.25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4.25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4.25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4.25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4.25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4.25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4.25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4.25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4.25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4.25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4.25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4.25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4.25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4.25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4.25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4.25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4.25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4.25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4.25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4.25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4.25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4.25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4.25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4.25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4.25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4.25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4.25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4.25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4.25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4.25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4.25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4.25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4.25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4.25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4.25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4.25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4.25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4.25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4.25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4.25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4.25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4.25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4.25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4.25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4.25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4.25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4.25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4.25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4.25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4.25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4.25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4.25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4.25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4.25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4.25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4.25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4.25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4.25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4.25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4.25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4.25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4.25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4.25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4.25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4.25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4.25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4.25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4.25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4.25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4.25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4.25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4.25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4.25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4.25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4.25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4.25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4.25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4.25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4.25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4.25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4.25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4.25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4.25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4.25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4.25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4.25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4.25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4.25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4.25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4.25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4.25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4.25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4.25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4.25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25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25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25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25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25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25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25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25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25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25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25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25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25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25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25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25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25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25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25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25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25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25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25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25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25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25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25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25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25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25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25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25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25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25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25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25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25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25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25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25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25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25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25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25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25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25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25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25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25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25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25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25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25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25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25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25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25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25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25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25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25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25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25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25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25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25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25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25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25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25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25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25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25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25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25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25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25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25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25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25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25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25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25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25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25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25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25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25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25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25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25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25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25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25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25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25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25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25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25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25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25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25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25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25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25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25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25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25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25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25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25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25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25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25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25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25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25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25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25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25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25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25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25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25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25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25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25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25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25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25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25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25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25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25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25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25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25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25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25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25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25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25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25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25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25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25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25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25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25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25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25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25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25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25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25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25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25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25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25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25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25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25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25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25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25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25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25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25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25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25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25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25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25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25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25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25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25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25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25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25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25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25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25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25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25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25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25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25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25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25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25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25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25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25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25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25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25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25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25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25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25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25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25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25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25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25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25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25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25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25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25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25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25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25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25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25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25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25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25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25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25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25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25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25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25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25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25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25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25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25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25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25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25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25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25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25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25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25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25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25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25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25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25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25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25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25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25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25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25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25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25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25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25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25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25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25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25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25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25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25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25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25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25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25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25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25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25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25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25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25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25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25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25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25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25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25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25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25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25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25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25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25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25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25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25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25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25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25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25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25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25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25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25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25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25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25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25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25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25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25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25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25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25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25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25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25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25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25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25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25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25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25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25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25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25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25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25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25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25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25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25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25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25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25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25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25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25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25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25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25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25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25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25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25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25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25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25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.25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.25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4.25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4.25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4.25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4.25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4.25" x14ac:dyDescent="0.2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4.25" x14ac:dyDescent="0.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14.25" x14ac:dyDescent="0.2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ht="14.25" x14ac:dyDescent="0.2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ht="14.25" x14ac:dyDescent="0.2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 ht="14.25" x14ac:dyDescent="0.2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 ht="14.25" x14ac:dyDescent="0.2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1:26" ht="14.25" x14ac:dyDescent="0.2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1:26" ht="14.25" x14ac:dyDescent="0.2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1:26" ht="14.25" x14ac:dyDescent="0.2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spans="1:26" ht="14.25" x14ac:dyDescent="0.2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spans="1:26" ht="14.25" x14ac:dyDescent="0.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spans="1:26" ht="14.25" x14ac:dyDescent="0.2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spans="1:26" ht="14.25" x14ac:dyDescent="0.2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</sheetData>
  <mergeCells count="78">
    <mergeCell ref="A36:A40"/>
    <mergeCell ref="C36:C37"/>
    <mergeCell ref="B38:B40"/>
    <mergeCell ref="C38:C40"/>
    <mergeCell ref="H9:H22"/>
    <mergeCell ref="F23:F24"/>
    <mergeCell ref="G23:G24"/>
    <mergeCell ref="B23:B24"/>
    <mergeCell ref="C23:C24"/>
    <mergeCell ref="A28:A35"/>
    <mergeCell ref="B32:B33"/>
    <mergeCell ref="C32:C33"/>
    <mergeCell ref="B28:B29"/>
    <mergeCell ref="C28:C29"/>
    <mergeCell ref="B30:B31"/>
    <mergeCell ref="C30:C31"/>
    <mergeCell ref="B34:B35"/>
    <mergeCell ref="C34:C35"/>
    <mergeCell ref="H28:H35"/>
    <mergeCell ref="F32:F33"/>
    <mergeCell ref="G32:G33"/>
    <mergeCell ref="H23:H27"/>
    <mergeCell ref="F25:F27"/>
    <mergeCell ref="G25:G27"/>
    <mergeCell ref="F28:F29"/>
    <mergeCell ref="G28:G29"/>
    <mergeCell ref="F30:F31"/>
    <mergeCell ref="G30:G31"/>
    <mergeCell ref="F34:F35"/>
    <mergeCell ref="G34:G35"/>
    <mergeCell ref="A1:H1"/>
    <mergeCell ref="G20:G22"/>
    <mergeCell ref="G14:G16"/>
    <mergeCell ref="F11:F13"/>
    <mergeCell ref="F9:F10"/>
    <mergeCell ref="F14:F16"/>
    <mergeCell ref="F20:F22"/>
    <mergeCell ref="G11:G13"/>
    <mergeCell ref="B17:B19"/>
    <mergeCell ref="C17:C19"/>
    <mergeCell ref="F17:F19"/>
    <mergeCell ref="H7:H8"/>
    <mergeCell ref="G7:G8"/>
    <mergeCell ref="F7:F8"/>
    <mergeCell ref="A7:A8"/>
    <mergeCell ref="D7:E7"/>
    <mergeCell ref="A23:A27"/>
    <mergeCell ref="B9:B10"/>
    <mergeCell ref="G9:G10"/>
    <mergeCell ref="G17:G19"/>
    <mergeCell ref="B25:B27"/>
    <mergeCell ref="C25:C27"/>
    <mergeCell ref="C9:C10"/>
    <mergeCell ref="C7:C8"/>
    <mergeCell ref="B7:B8"/>
    <mergeCell ref="B20:B22"/>
    <mergeCell ref="A9:A22"/>
    <mergeCell ref="C14:C16"/>
    <mergeCell ref="C20:C22"/>
    <mergeCell ref="B11:B13"/>
    <mergeCell ref="B14:B16"/>
    <mergeCell ref="C11:C13"/>
    <mergeCell ref="F43:F45"/>
    <mergeCell ref="G43:G45"/>
    <mergeCell ref="G38:G40"/>
    <mergeCell ref="H36:H40"/>
    <mergeCell ref="A41:A45"/>
    <mergeCell ref="B41:B42"/>
    <mergeCell ref="C41:C42"/>
    <mergeCell ref="F41:F42"/>
    <mergeCell ref="G41:G42"/>
    <mergeCell ref="H41:H45"/>
    <mergeCell ref="B43:B45"/>
    <mergeCell ref="C43:C45"/>
    <mergeCell ref="F36:F37"/>
    <mergeCell ref="G36:G37"/>
    <mergeCell ref="F38:F40"/>
    <mergeCell ref="B36:B37"/>
  </mergeCells>
  <printOptions horizontalCentered="1" gridLines="1"/>
  <pageMargins left="0.25" right="0.25" top="0.75" bottom="0.75" header="0" footer="0"/>
  <pageSetup paperSize="9" fitToWidth="0" pageOrder="overThenDown" orientation="portrait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1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.75" customHeight="1" x14ac:dyDescent="0.2"/>
  <cols>
    <col min="1" max="8" width="21.5703125" customWidth="1"/>
  </cols>
  <sheetData>
    <row r="1" spans="1:2" ht="15.75" customHeight="1" x14ac:dyDescent="0.2">
      <c r="A1" t="s">
        <v>0</v>
      </c>
      <c r="B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Trang tính1</vt:lpstr>
      <vt:lpstr>Câu trả lời biểu mẫu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2020-07-28T15:04:53Z</dcterms:modified>
</cp:coreProperties>
</file>